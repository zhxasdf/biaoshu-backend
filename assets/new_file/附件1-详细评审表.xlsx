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900" windowHeight="8760"/>
  </bookViews>
  <sheets>
    <sheet name="详细评审表" sheetId="4" r:id="rId1"/>
    <sheet name="Sheet1" sheetId="5" r:id="rId2"/>
  </sheets>
  <calcPr calcId="144525"/>
</workbook>
</file>

<file path=xl/sharedStrings.xml><?xml version="1.0" encoding="utf-8"?>
<sst xmlns="http://schemas.openxmlformats.org/spreadsheetml/2006/main" count="75" uniqueCount="68">
  <si>
    <t>2025-2026年中国联通软研院数字化底座数字化研发平台研发项目（数字化研发平台需求管理能力委托研发）
详细评审表</t>
  </si>
  <si>
    <t>序号</t>
  </si>
  <si>
    <t>1级类别</t>
  </si>
  <si>
    <t>2级类别</t>
  </si>
  <si>
    <t>评  分  项</t>
  </si>
  <si>
    <t>评  分  细  则</t>
  </si>
  <si>
    <t>分 值</t>
  </si>
  <si>
    <t>企业综合实力</t>
  </si>
  <si>
    <t>CMMI级软件能力成熟度</t>
  </si>
  <si>
    <t>投标人具有合格有效的CMMI级软件能力成熟度评估
提供合格有效的证书扫描件。</t>
  </si>
  <si>
    <t>1、提供CMMI5级软件能力成熟度评估认证证书的，得3分；
2、提供CMMI4级软件能力成熟度评估认证证书的，得2分；
3、提供CMMI3级软件能力成熟度评估认证证书的，得1分；
4、其他情况，得0分。</t>
  </si>
  <si>
    <t>信息安全服务资质认证</t>
  </si>
  <si>
    <t>投标人具有合格有效的信息安全服务资质认证证书。
提供合格有效的证书扫描件。</t>
  </si>
  <si>
    <t>1、提供信息安全服务资质认证证书-软件安全开发一级的，得3分；
2、提供信息安全服务资质认证证书-软件安全开发二级的，得2分；
3、提供信息安全服务资质认证证书-软件安全开发三级的，得1分；
4、其他情况，得0分。</t>
  </si>
  <si>
    <t>研发效能相关软件著作权</t>
  </si>
  <si>
    <t>投标人具有研发效能相关的软件著作权证书。
提供合格有效的证书扫描件。</t>
  </si>
  <si>
    <t>1、每具备1项与研发效能相关（研发效能、需求管理、持续交付、智能体）的软件著作权证书得0.5分，最多得3分。
2、其他情况得0分。</t>
  </si>
  <si>
    <t>技术规范书应答</t>
  </si>
  <si>
    <t>点对点应答</t>
  </si>
  <si>
    <r>
      <rPr>
        <sz val="9"/>
        <rFont val="宋体"/>
        <charset val="134"/>
      </rPr>
      <t xml:space="preserve">应答规范，全部满足。
</t>
    </r>
    <r>
      <rPr>
        <b/>
        <sz val="9"/>
        <rFont val="宋体"/>
        <charset val="134"/>
      </rPr>
      <t>（对本技术规范书第5章应答为“满足”的功能需求，须明确是可以通过配置实现还是需要二次开发，对于需要二次开发部分应描述具体开发内容及实现的具体方法、方案,否则将被视为应答“不满足”）</t>
    </r>
  </si>
  <si>
    <t>应答规范,全部满足为满分.若不满足或部分满足每项扣1分，扣完为止。</t>
  </si>
  <si>
    <t>技术方案的总体评价</t>
  </si>
  <si>
    <t>技术方案的完整性，以及对整个系统及项目需求有很好的理解</t>
  </si>
  <si>
    <t>1、需求理解到位，方案详细、完整、实用性强、契合度高的，充分理解和满足现有系统的架构、应用环境、功能需求、时间要求，得(2,3]分；
2、部分理解现有系统的架构、应用环境、功能需求、时间要求，需要通过外部接口方式满足业务需求，得(1,2]分；
3、不能充分利用现有资源，需要重新开发系统架构、应用部署进行才能满足业务需求，得[0,1]分。</t>
  </si>
  <si>
    <t>技术方案评价</t>
  </si>
  <si>
    <t>与现有系统平台的结合</t>
  </si>
  <si>
    <t>本期工程在现有系统基础上升级改造，除了满足本期项目的建设内容外，还需要保证从2025年到2026年之间数字化研发平台需求管理能力委托研发系统软件已经具备的所有功能、业务正常运行。</t>
  </si>
  <si>
    <t>提供与现网连接方案，要实现现有功能，业务无缝融合，确保已有功能正常运行。根据现有连接方案进行打分。
1、方案完整、清晰合理，切实可行，得(2,3]分；
2、方案基本完整、清晰合理，但需优化，得(1,2]分；
3、方案不完整或不能满足现有功能的实现，或方案缺失，得[0,1]分。</t>
  </si>
  <si>
    <t>AI辅助需求管理能力</t>
  </si>
  <si>
    <t>AI替代辅助需求人员对用户进行需求访谈，挖掘原始需求，包括需求目的、价值、场景等。建设需求方案文档生成及补全能力；基于智能问答内容及历史需求方案的推理分析，推动需求文档结构化治理，提升需求文档的质量；建设需求智能体，可接入并调度其它智能体能力，扩充完善需求智能化的使用场景。</t>
  </si>
  <si>
    <t>1、方案完整并合理，针对性强，切实可行，并有自身特色，得(1.5,2]分；
2、方案完整并较为合理、可行，有一定针对性，但方案需要优化，得(1,1.5]分；
3、方案基本完整并较为合理、可行，针对性不够，方案需要补充细化，得(0.5,1]分；
4、存在缺项，方案不够全面，契合较差，方案需要修改调整；或照搬技术规范书，得[0,0.5]分。</t>
  </si>
  <si>
    <t>基础能力优化</t>
  </si>
  <si>
    <t>回退、挂起、中止、变更等运营流程的优化；前评估后评价线上化；专业线个性化审批流程，可通过开放部分的自定义审批流程，让各部门编辑内部流程，无需频繁发版；
简易需求流程，针对嵌入式支撑或快速迭代的专题性需求，可简化审批和评估环节，快速进入研发；非数字化部规划系统的需求拆分及对接过程管理（智网、省分自建等）；
配合需求管理规范调整进行功能改造，包括需求分类调整、数据需求合并至业务需求的流程调整、非需求流程迁移至数字化监控平台等；重大、跨域需求审批流程优化。</t>
  </si>
  <si>
    <t>需求运营数据看板</t>
  </si>
  <si>
    <t>将以往人工取数的逻辑固化下来，同一口径、自动取数、随时查看，并实现按照角色展现不同的数据维度看板。</t>
  </si>
  <si>
    <t>门户</t>
  </si>
  <si>
    <t>平台功能优化、基础数据治理，伴随式智能助手。</t>
  </si>
  <si>
    <t>项目管理</t>
  </si>
  <si>
    <t>遵循软件工程理论进行管理，具有合理的项目管理组织和计划，有明确的执行机制</t>
  </si>
  <si>
    <t>1、计划和执行机制完整并合理，切实可行，并有自身特色，得(2,3]分；
2、计划和执行机制完整并较为合理、可行，但方案需要优化，得(1,2]分；
3、存在缺项，或计划和执行机制不全面，方案需要修改调整，得[0,1]分。</t>
  </si>
  <si>
    <t>质量管理</t>
  </si>
  <si>
    <t>质量管理方案</t>
  </si>
  <si>
    <t>质量管理方案，使用工具和方法进行质量控制，保证项目过程中遇到的缺陷或问题通过工具得到有效跟踪</t>
  </si>
  <si>
    <t>1、方案描述清晰合理，得(1.5,3]分；
2、方案描述一般，得(0,1.5]分；
3、其他情况，得0分。</t>
  </si>
  <si>
    <t>质量管理机制</t>
  </si>
  <si>
    <t>有规范的维护服务管理制度和规范,有完善的质量监督机制，完整的文档管理机制，明确的执行机制与安排</t>
  </si>
  <si>
    <t>1、要点完整，且描述清晰、合理、可操作，得(3,4]分；
2、要点完整，但描述基本清晰、合理、可操作，得(2,3]分；
3、要点缺失，但描述基本清晰、合理、可操作，得(0,2]分；
4、要点缺失，且描述不清晰、不合理、不可操作，得0分。</t>
  </si>
  <si>
    <t>团队要求</t>
  </si>
  <si>
    <t>团队规模</t>
  </si>
  <si>
    <t>须提供投标单位团队人员名单、简历表、有效期内的身份证扫描件、近三个月（投标截止日所在月份的前四个月内的任意连续3个月）的社保证明（分公司的须提供股权关系证明，劳务派遣的须提供劳务派遣合同等证明文件）原件扫描件，上述任一资料未提供的人员不予认可</t>
  </si>
  <si>
    <t>1、团队人员人数&gt;14人，得4分；
2、12人＜团队人员人数≤14人，得3分；                                                                                        
3、10人＜团队人员人数≤12人，得2分；
4、8人＜团队人员人数≤10人，得1分；                                                                                      
5、团队人员人数＝8人，得0分。</t>
  </si>
  <si>
    <t>团队成员</t>
  </si>
  <si>
    <r>
      <rPr>
        <sz val="9"/>
        <rFont val="宋体"/>
        <charset val="134"/>
      </rPr>
      <t>1.团队人员具备熟悉IT系统业务技术能力，主要负责人具有PMP项目管理资质证书或DevOps Master证书</t>
    </r>
    <r>
      <rPr>
        <b/>
        <sz val="9"/>
        <rFont val="宋体"/>
        <charset val="134"/>
      </rPr>
      <t>（须提供合格有效的证书扫描件）；</t>
    </r>
    <r>
      <rPr>
        <sz val="9"/>
        <rFont val="宋体"/>
        <charset val="134"/>
      </rPr>
      <t xml:space="preserve">
2.团队具备参与IT系统建设经验且熟悉系统技术架构、业务模式等背景，即主要负责人具备IT系统建设及运维行业经验（行业经验以人员简历为准）
</t>
    </r>
    <r>
      <rPr>
        <b/>
        <sz val="9"/>
        <rFont val="宋体"/>
        <charset val="134"/>
      </rPr>
      <t>注:须提供投标单位主要负责人名单、简历表、有效期内的身份证扫描件、近三个月（投标截止日所在月份的前四个月内的任意连续3个月）的社保证明（分公司的须提供股权关系证明，劳务派遣的须提供劳务派遣合同等证明文件）原件扫描件，上述任一资料未提供的人员不予认可</t>
    </r>
  </si>
  <si>
    <t>1、主要负责人具备8年（含）及以上IT行业经验，且具有DevOps Master证书或PMP证书的，得4分；
2、主要负责人具备8年（含）及以上IT行业经验，无相关证书，得3分；
3、主要负责人具备3年（含）-8年（不含）IT行业经验，且具有DevOps Master证书或PMP证书的，得2分；
4、主要负责人具备3年（含）-8年（不含）IT行业经验，无相关证书的，得1分；
5、其他情况，得0分。</t>
  </si>
  <si>
    <t>成功案例</t>
  </si>
  <si>
    <t>应用案例</t>
  </si>
  <si>
    <r>
      <rPr>
        <sz val="9"/>
        <rFont val="宋体"/>
        <charset val="134"/>
      </rPr>
      <t>投标人须提供2022年1月1日（以合同签订日期为准）至招标公告发布之日期间与采购内容同类型的IT系统建设案例3个或以上。须保证上述每个案例合同金额（或同一框架协议下的订单总额）不得低于200万元。</t>
    </r>
    <r>
      <rPr>
        <b/>
        <sz val="9"/>
        <rFont val="宋体"/>
        <charset val="134"/>
      </rPr>
      <t>上述案例须提供合同扫描件或框架合同及框架订单扫描件关键页，包括但不限于：合同首页、服务内容页、合同大签页、合同金额页，如为框架协议还须提供相应订单。业绩时间以合同签订时间为准，金额以合同或订单金额为准。</t>
    </r>
  </si>
  <si>
    <r>
      <rPr>
        <sz val="9"/>
        <rFont val="宋体"/>
        <charset val="134"/>
      </rPr>
      <t>1、提供</t>
    </r>
    <r>
      <rPr>
        <b/>
        <sz val="9"/>
        <rFont val="宋体"/>
        <charset val="134"/>
      </rPr>
      <t>3个</t>
    </r>
    <r>
      <rPr>
        <sz val="9"/>
        <rFont val="宋体"/>
        <charset val="134"/>
      </rPr>
      <t>符合要求的案例得1分，每多提供1个符合要求的案例加1分，最多得6分；
2、其他情况，得0分。</t>
    </r>
  </si>
  <si>
    <t>平台熟悉度</t>
  </si>
  <si>
    <t>联通数字化研发系列认证</t>
  </si>
  <si>
    <t>根据至投标截止日供应商已通过联通数字化研发系列中级及以上认证并在认证有效期内或认证接续期内的人数计算本项得分。
（投标人需提供联通数字化研发系列中级及以上认证人员简历、身份证扫描件、近三个月（投标截止日所在月份的前四个月内的任意连续3个月）的社保证明原件扫描件（上述任一资料未提供的人员不予认可））
注：原天宫认证、天梯认证、天宫系列认证与联通数字化研发系列认证同等对待，相关认证证书失效后一年内，为认证接续期。</t>
  </si>
  <si>
    <t>本项根据有效投标人通过联通数字化研发系列中级及以上认证的人数进行计分。
有效投标人联通数字化研发系列中级及以上认证人数以评标委员会根据招标人提供的供应商通过的中级及以上认证人名单核定后为准。
供应商通过人数为0人，得0分；
供应商通过人数为2人，得1分；
供应商通过人数为4人，得2分；
供应商通过人数为6人，得2.5分；
供应商通过人数在6人的基础上，每增加5人加0.3分（不足5人，不加分）；
最高分为5分。</t>
  </si>
  <si>
    <t>供应商后评价</t>
  </si>
  <si>
    <t>根据供应商后评价分值计算本项得分</t>
  </si>
  <si>
    <t>供应商评价得分=供应商评价分值得分（4分制）+供应商评价排名得分（1分制）。
1、供应商评价分值得分（4分制）：已参加供应商评价的有效投标人供应商评价百分制结果直接换算为四分制结果。
2、供应商评价排名得分（1分制）：已参加供应商评价的有效投标人按供应商评价结果排名进行线性插值法计分，投标人后评价最高者得1分，最低者得0分，若已参加供应商评价的有效投标人只有1名，则按1分计取。
3、新进供应商评分：取参加本次投标的已参加供应商评价的有效投标人供应商评价得分的平均分 。
4、供应商评价取值：最新供应商评价结果所在年度的各季度已有综合评价平均值*50%+最新供应商评价结果所在年度的上一年度综合评价值*50%。
注：若投标人无最新供应商评价结果所在年度各季度综合评价（包括本年尚未签订合同的）的只取最新供应商评价结果所在年度的上一年度综合评价的100%；若无最新供应商评价结果所在年度的上一年度综合评价的只取最新供应商评价结果所在年度各季度已有综合评价平均值的100%；没有参加最新供应商评价结果所在年度、最新供应商评价结果所在年度的上一年度后评价的投标人被视为新进投标人。
（最终得分保留两位小数，第三位四舍五入）</t>
  </si>
  <si>
    <t>黑名单管理</t>
  </si>
  <si>
    <t>根据中国联通集团关于供应商管理的相关规定，对因业务不可替代暂不列入黑名单的供应商（具体名单及有效期，以纪检部门发布的名单为准），详细评审时扣减2分；其他供应商不扣分。</t>
  </si>
  <si>
    <t>合计</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</si>
</sst>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0_);[Red]\(#,##0.0\)"/>
  </numFmts>
  <fonts count="29">
    <font>
      <sz val="11"/>
      <color theme="1"/>
      <name val="等线"/>
      <charset val="134"/>
      <scheme val="minor"/>
    </font>
    <font>
      <sz val="9"/>
      <name val="宋体"/>
      <charset val="134"/>
    </font>
    <font>
      <b/>
      <sz val="9"/>
      <name val="宋体"/>
      <charset val="134"/>
    </font>
    <font>
      <sz val="11"/>
      <name val="宋体"/>
      <charset val="134"/>
    </font>
    <font>
      <b/>
      <sz val="11"/>
      <name val="宋体"/>
      <charset val="134"/>
    </font>
    <font>
      <b/>
      <sz val="16"/>
      <name val="宋体"/>
      <charset val="134"/>
    </font>
    <font>
      <b/>
      <sz val="12"/>
      <name val="宋体"/>
      <charset val="134"/>
    </font>
    <font>
      <sz val="8"/>
      <name val="宋体"/>
      <charset val="134"/>
    </font>
    <font>
      <sz val="10"/>
      <name val="宋体"/>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2"/>
      <name val="Times New Roman"/>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9"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0" applyNumberFormat="0" applyFill="0" applyAlignment="0" applyProtection="0">
      <alignment vertical="center"/>
    </xf>
    <xf numFmtId="0" fontId="20" fillId="0" borderId="10" applyNumberFormat="0" applyFill="0" applyAlignment="0" applyProtection="0">
      <alignment vertical="center"/>
    </xf>
    <xf numFmtId="0" fontId="12" fillId="9" borderId="0" applyNumberFormat="0" applyBorder="0" applyAlignment="0" applyProtection="0">
      <alignment vertical="center"/>
    </xf>
    <xf numFmtId="0" fontId="15" fillId="0" borderId="11" applyNumberFormat="0" applyFill="0" applyAlignment="0" applyProtection="0">
      <alignment vertical="center"/>
    </xf>
    <xf numFmtId="0" fontId="12" fillId="10" borderId="0" applyNumberFormat="0" applyBorder="0" applyAlignment="0" applyProtection="0">
      <alignment vertical="center"/>
    </xf>
    <xf numFmtId="0" fontId="21" fillId="11" borderId="12" applyNumberFormat="0" applyAlignment="0" applyProtection="0">
      <alignment vertical="center"/>
    </xf>
    <xf numFmtId="0" fontId="22" fillId="11" borderId="8" applyNumberFormat="0" applyAlignment="0" applyProtection="0">
      <alignment vertical="center"/>
    </xf>
    <xf numFmtId="0" fontId="23" fillId="12" borderId="13"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xf numFmtId="0" fontId="28" fillId="0" borderId="0"/>
    <xf numFmtId="0" fontId="0" fillId="0" borderId="0">
      <alignment vertical="center"/>
    </xf>
    <xf numFmtId="0" fontId="0" fillId="0" borderId="0">
      <alignment vertical="center"/>
    </xf>
    <xf numFmtId="0" fontId="28" fillId="0" borderId="0"/>
  </cellStyleXfs>
  <cellXfs count="37">
    <xf numFmtId="0" fontId="0" fillId="0" borderId="0" xfId="0">
      <alignment vertical="center"/>
    </xf>
    <xf numFmtId="0" fontId="1" fillId="0" borderId="0" xfId="0" applyFont="1" applyFill="1" applyAlignment="1">
      <alignment vertical="center" wrapText="1"/>
    </xf>
    <xf numFmtId="0" fontId="1" fillId="0" borderId="0" xfId="0" applyFont="1" applyFill="1">
      <alignment vertical="center"/>
    </xf>
    <xf numFmtId="0" fontId="2" fillId="0" borderId="0" xfId="0" applyFont="1" applyFill="1" applyAlignment="1">
      <alignment horizontal="center" vertical="center" wrapText="1"/>
    </xf>
    <xf numFmtId="176" fontId="3" fillId="0" borderId="0" xfId="0" applyNumberFormat="1" applyFont="1" applyFill="1" applyAlignment="1">
      <alignment vertical="center" wrapText="1"/>
    </xf>
    <xf numFmtId="0" fontId="4" fillId="0" borderId="0" xfId="0" applyFont="1" applyFill="1" applyAlignment="1">
      <alignment horizontal="left" vertical="center" wrapText="1"/>
    </xf>
    <xf numFmtId="0" fontId="3" fillId="0" borderId="0" xfId="0" applyFont="1" applyFill="1" applyAlignment="1">
      <alignment vertical="center" wrapText="1"/>
    </xf>
    <xf numFmtId="178" fontId="3" fillId="0" borderId="0" xfId="0" applyNumberFormat="1" applyFont="1" applyFill="1" applyAlignment="1">
      <alignment vertical="center" wrapText="1"/>
    </xf>
    <xf numFmtId="0" fontId="5" fillId="0" borderId="0" xfId="0" applyFont="1" applyFill="1" applyAlignment="1">
      <alignment horizontal="center" vertical="center" wrapText="1"/>
    </xf>
    <xf numFmtId="176"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178" fontId="6"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1" xfId="49" applyFont="1" applyFill="1" applyBorder="1" applyAlignment="1">
      <alignment horizontal="left" vertical="center" wrapText="1"/>
    </xf>
    <xf numFmtId="0" fontId="3"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177" fontId="1" fillId="0" borderId="1" xfId="49" applyNumberFormat="1" applyFont="1" applyFill="1" applyBorder="1" applyAlignment="1">
      <alignment horizontal="left" vertical="center" wrapText="1"/>
    </xf>
    <xf numFmtId="0" fontId="1" fillId="0" borderId="1" xfId="0" applyFont="1" applyFill="1" applyBorder="1" applyAlignment="1">
      <alignment vertical="center" wrapText="1"/>
    </xf>
    <xf numFmtId="0" fontId="8" fillId="0" borderId="1" xfId="49" applyFont="1" applyFill="1" applyBorder="1" applyAlignment="1">
      <alignment horizontal="left" vertical="center" wrapText="1"/>
    </xf>
    <xf numFmtId="178" fontId="8" fillId="0" borderId="1" xfId="0" applyNumberFormat="1" applyFont="1" applyFill="1" applyBorder="1" applyAlignment="1">
      <alignment horizontal="center" vertical="center" wrapText="1"/>
    </xf>
    <xf numFmtId="0" fontId="1" fillId="0" borderId="1" xfId="51" applyFont="1" applyFill="1" applyBorder="1" applyAlignment="1">
      <alignment horizontal="left" vertical="center" wrapText="1"/>
    </xf>
    <xf numFmtId="0" fontId="1" fillId="0" borderId="1" xfId="52" applyFont="1" applyFill="1" applyBorder="1" applyAlignment="1">
      <alignment vertical="center" wrapText="1"/>
    </xf>
    <xf numFmtId="0" fontId="1" fillId="0" borderId="1" xfId="49" applyFont="1" applyFill="1" applyBorder="1" applyAlignment="1">
      <alignment horizontal="center" vertical="center" wrapText="1"/>
    </xf>
    <xf numFmtId="176" fontId="1" fillId="0" borderId="5" xfId="0" applyNumberFormat="1" applyFont="1" applyFill="1" applyBorder="1" applyAlignment="1">
      <alignment horizontal="center" vertical="center" wrapText="1"/>
    </xf>
    <xf numFmtId="176" fontId="1" fillId="0" borderId="6"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176" fontId="1" fillId="0" borderId="0" xfId="0" applyNumberFormat="1" applyFont="1" applyFill="1" applyAlignment="1">
      <alignment vertical="center" wrapText="1"/>
    </xf>
    <xf numFmtId="0" fontId="2" fillId="0" borderId="0" xfId="0" applyFont="1" applyFill="1" applyAlignment="1">
      <alignment horizontal="left" vertical="center" wrapText="1"/>
    </xf>
    <xf numFmtId="178" fontId="1" fillId="0" borderId="0" xfId="0" applyNumberFormat="1" applyFont="1" applyFill="1" applyAlignment="1">
      <alignment vertical="center" wrapText="1"/>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Style 1" xfId="49"/>
    <cellStyle name="常规 2" xfId="50"/>
    <cellStyle name="常规 3" xfId="51"/>
    <cellStyle name="常规_评标细则-（打分汇总表）计费服务器"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24"/>
  <sheetViews>
    <sheetView tabSelected="1" zoomScale="85" zoomScaleNormal="85" workbookViewId="0">
      <selection activeCell="A1" sqref="A1:F1"/>
    </sheetView>
  </sheetViews>
  <sheetFormatPr defaultColWidth="8.58407079646018" defaultRowHeight="13.5" outlineLevelCol="5"/>
  <cols>
    <col min="1" max="1" width="12.3362831858407" style="4" customWidth="1"/>
    <col min="2" max="2" width="15.7522123893805" style="5" customWidth="1"/>
    <col min="3" max="3" width="21.4159292035398" style="5" customWidth="1"/>
    <col min="4" max="4" width="60.4159292035398" style="6" customWidth="1"/>
    <col min="5" max="5" width="72.8230088495575" style="6" customWidth="1"/>
    <col min="6" max="6" width="12.3362831858407" style="7" customWidth="1"/>
    <col min="7" max="16384" width="8.58407079646018" style="6"/>
  </cols>
  <sheetData>
    <row r="1" ht="54" customHeight="1" spans="1:6">
      <c r="A1" s="8" t="s">
        <v>0</v>
      </c>
      <c r="B1" s="8"/>
      <c r="C1" s="8"/>
      <c r="D1" s="8"/>
      <c r="E1" s="8"/>
      <c r="F1" s="8"/>
    </row>
    <row r="2" ht="42" customHeight="1" spans="1:6">
      <c r="A2" s="9" t="s">
        <v>1</v>
      </c>
      <c r="B2" s="10" t="s">
        <v>2</v>
      </c>
      <c r="C2" s="10" t="s">
        <v>3</v>
      </c>
      <c r="D2" s="10" t="s">
        <v>4</v>
      </c>
      <c r="E2" s="10" t="s">
        <v>5</v>
      </c>
      <c r="F2" s="11" t="s">
        <v>6</v>
      </c>
    </row>
    <row r="3" s="1" customFormat="1" ht="57.5" customHeight="1" spans="1:6">
      <c r="A3" s="12">
        <v>1</v>
      </c>
      <c r="B3" s="13" t="s">
        <v>7</v>
      </c>
      <c r="C3" s="14" t="s">
        <v>8</v>
      </c>
      <c r="D3" s="14" t="s">
        <v>9</v>
      </c>
      <c r="E3" s="14" t="s">
        <v>10</v>
      </c>
      <c r="F3" s="15">
        <v>3</v>
      </c>
    </row>
    <row r="4" s="1" customFormat="1" ht="57.5" customHeight="1" spans="1:6">
      <c r="A4" s="12">
        <v>2</v>
      </c>
      <c r="B4" s="13"/>
      <c r="C4" s="14" t="s">
        <v>11</v>
      </c>
      <c r="D4" s="14" t="s">
        <v>12</v>
      </c>
      <c r="E4" s="14" t="s">
        <v>13</v>
      </c>
      <c r="F4" s="15">
        <v>3</v>
      </c>
    </row>
    <row r="5" s="1" customFormat="1" ht="47" customHeight="1" spans="1:6">
      <c r="A5" s="12">
        <v>3</v>
      </c>
      <c r="B5" s="16"/>
      <c r="C5" s="14" t="s">
        <v>14</v>
      </c>
      <c r="D5" s="14" t="s">
        <v>15</v>
      </c>
      <c r="E5" s="14" t="s">
        <v>16</v>
      </c>
      <c r="F5" s="15">
        <v>3</v>
      </c>
    </row>
    <row r="6" s="2" customFormat="1" ht="54" customHeight="1" spans="1:6">
      <c r="A6" s="12">
        <v>4</v>
      </c>
      <c r="B6" s="17" t="s">
        <v>17</v>
      </c>
      <c r="C6" s="17" t="s">
        <v>18</v>
      </c>
      <c r="D6" s="14" t="s">
        <v>19</v>
      </c>
      <c r="E6" s="14" t="s">
        <v>20</v>
      </c>
      <c r="F6" s="15">
        <v>3</v>
      </c>
    </row>
    <row r="7" s="2" customFormat="1" ht="75" customHeight="1" spans="1:6">
      <c r="A7" s="12">
        <v>5</v>
      </c>
      <c r="B7" s="18"/>
      <c r="C7" s="17" t="s">
        <v>21</v>
      </c>
      <c r="D7" s="19" t="s">
        <v>22</v>
      </c>
      <c r="E7" s="14" t="s">
        <v>23</v>
      </c>
      <c r="F7" s="15">
        <v>3</v>
      </c>
    </row>
    <row r="8" s="2" customFormat="1" ht="81" customHeight="1" spans="1:6">
      <c r="A8" s="12">
        <v>6</v>
      </c>
      <c r="B8" s="20" t="s">
        <v>24</v>
      </c>
      <c r="C8" s="17" t="s">
        <v>25</v>
      </c>
      <c r="D8" s="14" t="s">
        <v>26</v>
      </c>
      <c r="E8" s="14" t="s">
        <v>27</v>
      </c>
      <c r="F8" s="15">
        <v>3</v>
      </c>
    </row>
    <row r="9" s="2" customFormat="1" ht="45" spans="1:6">
      <c r="A9" s="12">
        <v>7</v>
      </c>
      <c r="B9" s="21"/>
      <c r="C9" s="17" t="s">
        <v>28</v>
      </c>
      <c r="D9" s="14" t="s">
        <v>29</v>
      </c>
      <c r="E9" s="14" t="s">
        <v>30</v>
      </c>
      <c r="F9" s="15">
        <v>2</v>
      </c>
    </row>
    <row r="10" s="2" customFormat="1" ht="90" spans="1:6">
      <c r="A10" s="12">
        <v>8</v>
      </c>
      <c r="B10" s="21"/>
      <c r="C10" s="17" t="s">
        <v>31</v>
      </c>
      <c r="D10" s="14" t="s">
        <v>32</v>
      </c>
      <c r="E10" s="14" t="s">
        <v>30</v>
      </c>
      <c r="F10" s="15">
        <v>2</v>
      </c>
    </row>
    <row r="11" s="2" customFormat="1" ht="45" spans="1:6">
      <c r="A11" s="12">
        <v>9</v>
      </c>
      <c r="B11" s="21"/>
      <c r="C11" s="17" t="s">
        <v>33</v>
      </c>
      <c r="D11" s="14" t="s">
        <v>34</v>
      </c>
      <c r="E11" s="14" t="s">
        <v>30</v>
      </c>
      <c r="F11" s="15">
        <v>2</v>
      </c>
    </row>
    <row r="12" s="2" customFormat="1" ht="76" customHeight="1" spans="1:6">
      <c r="A12" s="12">
        <v>10</v>
      </c>
      <c r="B12" s="22"/>
      <c r="C12" s="17" t="s">
        <v>35</v>
      </c>
      <c r="D12" s="23" t="s">
        <v>36</v>
      </c>
      <c r="E12" s="14" t="s">
        <v>30</v>
      </c>
      <c r="F12" s="15">
        <v>2</v>
      </c>
    </row>
    <row r="13" s="2" customFormat="1" ht="81" customHeight="1" spans="1:6">
      <c r="A13" s="12">
        <v>11</v>
      </c>
      <c r="B13" s="24" t="s">
        <v>37</v>
      </c>
      <c r="C13" s="25" t="s">
        <v>37</v>
      </c>
      <c r="D13" s="23" t="s">
        <v>38</v>
      </c>
      <c r="E13" s="14" t="s">
        <v>39</v>
      </c>
      <c r="F13" s="26">
        <v>3</v>
      </c>
    </row>
    <row r="14" s="2" customFormat="1" ht="86" customHeight="1" spans="1:6">
      <c r="A14" s="12">
        <v>12</v>
      </c>
      <c r="B14" s="20" t="s">
        <v>40</v>
      </c>
      <c r="C14" s="25" t="s">
        <v>41</v>
      </c>
      <c r="D14" s="23" t="s">
        <v>42</v>
      </c>
      <c r="E14" s="14" t="s">
        <v>43</v>
      </c>
      <c r="F14" s="26">
        <v>3</v>
      </c>
    </row>
    <row r="15" s="2" customFormat="1" ht="96" customHeight="1" spans="1:6">
      <c r="A15" s="12">
        <v>13</v>
      </c>
      <c r="B15" s="22"/>
      <c r="C15" s="25" t="s">
        <v>44</v>
      </c>
      <c r="D15" s="23" t="s">
        <v>45</v>
      </c>
      <c r="E15" s="14" t="s">
        <v>46</v>
      </c>
      <c r="F15" s="26">
        <v>4</v>
      </c>
    </row>
    <row r="16" s="2" customFormat="1" ht="89" customHeight="1" spans="1:6">
      <c r="A16" s="12">
        <v>14</v>
      </c>
      <c r="B16" s="17" t="s">
        <v>47</v>
      </c>
      <c r="C16" s="17" t="s">
        <v>48</v>
      </c>
      <c r="D16" s="14" t="s">
        <v>49</v>
      </c>
      <c r="E16" s="24" t="s">
        <v>50</v>
      </c>
      <c r="F16" s="15">
        <v>4</v>
      </c>
    </row>
    <row r="17" s="2" customFormat="1" ht="90" spans="1:6">
      <c r="A17" s="12">
        <v>15</v>
      </c>
      <c r="B17" s="17"/>
      <c r="C17" s="17" t="s">
        <v>51</v>
      </c>
      <c r="D17" s="17" t="s">
        <v>52</v>
      </c>
      <c r="E17" s="14" t="s">
        <v>53</v>
      </c>
      <c r="F17" s="15">
        <v>4</v>
      </c>
    </row>
    <row r="18" s="2" customFormat="1" ht="92" customHeight="1" spans="1:6">
      <c r="A18" s="12">
        <v>16</v>
      </c>
      <c r="B18" s="17" t="s">
        <v>54</v>
      </c>
      <c r="C18" s="17" t="s">
        <v>55</v>
      </c>
      <c r="D18" s="17" t="s">
        <v>56</v>
      </c>
      <c r="E18" s="27" t="s">
        <v>57</v>
      </c>
      <c r="F18" s="15">
        <v>6</v>
      </c>
    </row>
    <row r="19" s="2" customFormat="1" ht="175.25" customHeight="1" spans="1:6">
      <c r="A19" s="12">
        <v>17</v>
      </c>
      <c r="B19" s="17" t="s">
        <v>58</v>
      </c>
      <c r="C19" s="14" t="s">
        <v>59</v>
      </c>
      <c r="D19" s="28" t="s">
        <v>60</v>
      </c>
      <c r="E19" s="14" t="s">
        <v>61</v>
      </c>
      <c r="F19" s="15">
        <v>5</v>
      </c>
    </row>
    <row r="20" s="2" customFormat="1" ht="189" customHeight="1" spans="1:6">
      <c r="A20" s="12">
        <v>18</v>
      </c>
      <c r="B20" s="17" t="s">
        <v>62</v>
      </c>
      <c r="C20" s="17" t="s">
        <v>62</v>
      </c>
      <c r="D20" s="17" t="s">
        <v>63</v>
      </c>
      <c r="E20" s="14" t="s">
        <v>64</v>
      </c>
      <c r="F20" s="15">
        <v>5</v>
      </c>
    </row>
    <row r="21" s="2" customFormat="1" ht="59.25" customHeight="1" spans="1:6">
      <c r="A21" s="12">
        <v>19</v>
      </c>
      <c r="B21" s="17" t="s">
        <v>65</v>
      </c>
      <c r="C21" s="17" t="s">
        <v>65</v>
      </c>
      <c r="D21" s="29" t="s">
        <v>65</v>
      </c>
      <c r="E21" s="14" t="s">
        <v>66</v>
      </c>
      <c r="F21" s="15">
        <v>0</v>
      </c>
    </row>
    <row r="22" s="3" customFormat="1" ht="40.5" customHeight="1" spans="1:6">
      <c r="A22" s="30" t="s">
        <v>67</v>
      </c>
      <c r="B22" s="31"/>
      <c r="C22" s="31"/>
      <c r="D22" s="31"/>
      <c r="E22" s="32"/>
      <c r="F22" s="33">
        <f>SUM(F3:F21)</f>
        <v>60</v>
      </c>
    </row>
    <row r="23" s="1" customFormat="1" ht="40" customHeight="1" spans="1:6">
      <c r="A23" s="34"/>
      <c r="B23" s="35"/>
      <c r="C23" s="35"/>
      <c r="F23" s="36"/>
    </row>
    <row r="24" s="1" customFormat="1" ht="11.25" spans="1:6">
      <c r="A24" s="34"/>
      <c r="B24" s="35"/>
      <c r="C24" s="35"/>
      <c r="F24" s="36"/>
    </row>
  </sheetData>
  <mergeCells count="7">
    <mergeCell ref="A1:F1"/>
    <mergeCell ref="A22:E22"/>
    <mergeCell ref="B3:B5"/>
    <mergeCell ref="B6:B7"/>
    <mergeCell ref="B8:B12"/>
    <mergeCell ref="B14:B15"/>
    <mergeCell ref="B16:B1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3185840707965" defaultRowHeight="13.8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详细评审表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唐民富</dc:creator>
  <cp:lastModifiedBy>zhang</cp:lastModifiedBy>
  <dcterms:created xsi:type="dcterms:W3CDTF">2016-07-01T23:56:00Z</dcterms:created>
  <cp:lastPrinted>2018-04-27T23:24:00Z</cp:lastPrinted>
  <dcterms:modified xsi:type="dcterms:W3CDTF">2025-06-25T07:32:07Z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2052-11.8.2.12265</vt:lpwstr>
  </property>
  <property fmtid="{D5CDD505-2E9C-101B-9397-08002B2CF9AE}" pid="3" name="ICV">
    <vt:lpwstr>C2C7E05C8C974FD4B87005034CC2C6C6_13</vt:lpwstr>
  </property>
</Properties>
</file>